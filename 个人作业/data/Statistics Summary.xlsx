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<sst xmlns="http://schemas.openxmlformats.org/spreadsheetml/2006/main" count="88" uniqueCount="44">
  <si>
    <t>count</t>
  </si>
  <si>
    <t>mean</t>
  </si>
  <si>
    <t>std</t>
  </si>
  <si>
    <t>min</t>
  </si>
  <si>
    <t>25%</t>
  </si>
  <si>
    <t>50%</t>
  </si>
  <si>
    <t>75%</t>
  </si>
  <si>
    <t>max</t>
  </si>
  <si>
    <t>USD_index_Close</t>
  </si>
  <si>
    <t>USD_EUR_Open</t>
  </si>
  <si>
    <t>USD_JPY_Open</t>
  </si>
  <si>
    <t>USD_GBP_Open</t>
  </si>
  <si>
    <t>USD_CNY_Open</t>
  </si>
  <si>
    <t>GOLD_Open</t>
  </si>
  <si>
    <t>WTI_Open</t>
  </si>
  <si>
    <t>US_10Y_Open</t>
  </si>
  <si>
    <t>CN_10Y_Open</t>
  </si>
  <si>
    <t>UK_10Y_Open</t>
  </si>
  <si>
    <t>JP_10Y_Open</t>
  </si>
  <si>
    <t>GER_10Y_Open</t>
  </si>
  <si>
    <t>VIX_Open</t>
  </si>
  <si>
    <t>US_index_Open</t>
  </si>
  <si>
    <t>CN_index_Open</t>
  </si>
  <si>
    <t>UK_index_Open</t>
  </si>
  <si>
    <t>JP_index_Open</t>
  </si>
  <si>
    <t>GER_index_Open</t>
  </si>
  <si>
    <t>US_10Y-CN_10Y_Open</t>
  </si>
  <si>
    <t>US_10Y-GER_10Y_Open</t>
  </si>
  <si>
    <t>US_10Y-UK_10Y_Open</t>
  </si>
  <si>
    <t>US_10Y-JP_10Y_Open</t>
  </si>
  <si>
    <t>CN_10Y-GER_10Y_Open</t>
  </si>
  <si>
    <t>CN_10Y-UK_10Y_Open</t>
  </si>
  <si>
    <t>CN_10Y-JP_10Y_Open</t>
  </si>
  <si>
    <t>GER_10Y-UK_10Y_Open</t>
  </si>
  <si>
    <t>GER_10Y-JP_10Y_Open</t>
  </si>
  <si>
    <t>UK_10Y-JP_10Y_Open</t>
  </si>
  <si>
    <t>VIX_Delta</t>
  </si>
  <si>
    <t>USD_index_Close_Lag1</t>
  </si>
  <si>
    <t>USD_index_Close_Lag4</t>
  </si>
  <si>
    <t>USD_index_Close_Lag7</t>
  </si>
  <si>
    <t>USD_index_Close_Lag14</t>
  </si>
  <si>
    <t>USD_index_Close_Std3</t>
  </si>
  <si>
    <t>USD_index_Close_Std7</t>
  </si>
  <si>
    <t>USD_index_Close_Std14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</si>
</sst>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00000E+00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176" fontId="0" fillId="0" borderId="0" xfId="0" applyNumberFormat="1"/>
    <xf numFmtId="177" fontId="1" fillId="0" borderId="0" xfId="0" applyNumberFormat="1" applyFont="1"/>
    <xf numFmtId="176" fontId="2" fillId="0" borderId="1" xfId="0" applyNumberFormat="1" applyFont="1" applyBorder="1" applyAlignment="1">
      <alignment horizontal="center" vertical="top"/>
    </xf>
    <xf numFmtId="177" fontId="2" fillId="0" borderId="1" xfId="0" applyNumberFormat="1" applyFont="1" applyBorder="1" applyAlignment="1">
      <alignment horizontal="center" vertical="top"/>
    </xf>
    <xf numFmtId="176" fontId="1" fillId="0" borderId="0" xfId="0" applyNumberFormat="1" applyFont="1"/>
    <xf numFmtId="0" fontId="3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workbookViewId="0">
      <selection activeCell="A2" sqref="A2:B37"/>
    </sheetView>
  </sheetViews>
  <sheetFormatPr defaultColWidth="9" defaultRowHeight="14"/>
  <cols>
    <col min="1" max="1" width="26.2727272727273" customWidth="1"/>
    <col min="2" max="2" width="7" customWidth="1"/>
    <col min="3" max="3" width="15.1818181818182" customWidth="1"/>
    <col min="4" max="4" width="12.8181818181818" customWidth="1"/>
    <col min="5" max="7" width="14" customWidth="1"/>
    <col min="8" max="9" width="12.8181818181818" customWidth="1"/>
  </cols>
  <sheetData>
    <row r="1" spans="1:9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</row>
    <row r="2" spans="1:9">
      <c r="A2" s="6" t="s">
        <v>8</v>
      </c>
      <c r="B2">
        <v>3456</v>
      </c>
      <c r="C2" s="7">
        <v>-2.90269444590864e-5</v>
      </c>
      <c r="D2" s="7">
        <v>0.00485440854584736</v>
      </c>
      <c r="E2" s="7">
        <v>-0.0306456730541438</v>
      </c>
      <c r="F2" s="7">
        <v>-0.0028056636024909</v>
      </c>
      <c r="G2" s="7">
        <v>0</v>
      </c>
      <c r="H2" s="7">
        <v>0.00273436457398035</v>
      </c>
      <c r="I2" s="7">
        <v>0.0240746502038318</v>
      </c>
    </row>
    <row r="3" spans="1:9">
      <c r="A3" s="6" t="s">
        <v>9</v>
      </c>
      <c r="B3">
        <v>3456</v>
      </c>
      <c r="C3" s="7">
        <v>-6.4345210578518e-5</v>
      </c>
      <c r="D3" s="7">
        <v>0.00583521986642311</v>
      </c>
      <c r="E3" s="7">
        <v>-0.036314618450978</v>
      </c>
      <c r="F3" s="7">
        <v>-0.00333999934061501</v>
      </c>
      <c r="G3" s="7">
        <v>0</v>
      </c>
      <c r="H3" s="7">
        <v>0.0030599885813401</v>
      </c>
      <c r="I3" s="7">
        <v>0.031372121394295</v>
      </c>
    </row>
    <row r="4" spans="1:9">
      <c r="A4" s="6" t="s">
        <v>10</v>
      </c>
      <c r="B4">
        <v>3456</v>
      </c>
      <c r="C4" s="7">
        <v>2.18513987719125e-5</v>
      </c>
      <c r="D4" s="7">
        <v>0.00552308453820948</v>
      </c>
      <c r="E4" s="7">
        <v>-0.0388967264565059</v>
      </c>
      <c r="F4" s="7">
        <v>-0.00276973962931715</v>
      </c>
      <c r="G4" s="7">
        <v>9.14069289241759e-5</v>
      </c>
      <c r="H4" s="7">
        <v>0.00301926964746957</v>
      </c>
      <c r="I4" s="7">
        <v>0.0343326790805047</v>
      </c>
    </row>
    <row r="5" spans="1:9">
      <c r="A5" s="6" t="s">
        <v>11</v>
      </c>
      <c r="B5">
        <v>3456</v>
      </c>
      <c r="C5" s="7">
        <v>-7.41953735202948e-5</v>
      </c>
      <c r="D5" s="7">
        <v>0.00607787909207405</v>
      </c>
      <c r="E5" s="7">
        <v>-0.0298383593862911</v>
      </c>
      <c r="F5" s="7">
        <v>-0.00337926046468352</v>
      </c>
      <c r="G5" s="7">
        <v>-0.000157010544219072</v>
      </c>
      <c r="H5" s="7">
        <v>0.00316886182018564</v>
      </c>
      <c r="I5" s="7">
        <v>0.0920058242612076</v>
      </c>
    </row>
    <row r="6" spans="1:9">
      <c r="A6" s="6" t="s">
        <v>12</v>
      </c>
      <c r="B6">
        <v>3456</v>
      </c>
      <c r="C6" s="7">
        <v>-1.22964291320962e-5</v>
      </c>
      <c r="D6" s="7">
        <v>0.00197644075752701</v>
      </c>
      <c r="E6" s="7">
        <v>-0.0158914615337131</v>
      </c>
      <c r="F6" s="7">
        <v>-0.00074122625766293</v>
      </c>
      <c r="G6" s="7">
        <v>-1.60880499863181e-5</v>
      </c>
      <c r="H6" s="7">
        <v>0.000619834731251434</v>
      </c>
      <c r="I6" s="7">
        <v>0.0244477811501449</v>
      </c>
    </row>
    <row r="7" spans="1:9">
      <c r="A7" s="6" t="s">
        <v>13</v>
      </c>
      <c r="B7">
        <v>3456</v>
      </c>
      <c r="C7" s="7">
        <v>0.000295642202068942</v>
      </c>
      <c r="D7" s="7">
        <v>0.0115193158475975</v>
      </c>
      <c r="E7" s="7">
        <v>-0.0903980706512888</v>
      </c>
      <c r="F7" s="7">
        <v>-0.00521495972940578</v>
      </c>
      <c r="G7" s="7">
        <v>0.00057576891570843</v>
      </c>
      <c r="H7" s="7">
        <v>0.00645782837498787</v>
      </c>
      <c r="I7" s="7">
        <v>0.105373288599626</v>
      </c>
    </row>
    <row r="8" spans="1:9">
      <c r="A8" s="6" t="s">
        <v>14</v>
      </c>
      <c r="B8">
        <v>3456</v>
      </c>
      <c r="C8" s="7">
        <v>-0.00040667940430347</v>
      </c>
      <c r="D8" s="7">
        <v>0.0243614226714703</v>
      </c>
      <c r="E8" s="7">
        <v>-0.261889317890052</v>
      </c>
      <c r="F8" s="7">
        <v>-0.0125853386074475</v>
      </c>
      <c r="G8" s="7">
        <v>0.000190693979855938</v>
      </c>
      <c r="H8" s="7">
        <v>0.0124840318340607</v>
      </c>
      <c r="I8" s="7">
        <v>0.166945736431845</v>
      </c>
    </row>
    <row r="9" spans="1:9">
      <c r="A9" s="6" t="s">
        <v>15</v>
      </c>
      <c r="B9">
        <v>3456</v>
      </c>
      <c r="C9" s="7">
        <v>2.9462421875</v>
      </c>
      <c r="D9" s="7">
        <v>1.13027077148395</v>
      </c>
      <c r="E9" s="7">
        <v>0.512</v>
      </c>
      <c r="F9" s="7">
        <v>2.0345</v>
      </c>
      <c r="G9" s="7">
        <v>2.824</v>
      </c>
      <c r="H9" s="7">
        <v>3.86725</v>
      </c>
      <c r="I9" s="7">
        <v>5.289</v>
      </c>
    </row>
    <row r="10" spans="1:9">
      <c r="A10" s="6" t="s">
        <v>16</v>
      </c>
      <c r="B10">
        <v>3456</v>
      </c>
      <c r="C10" s="7">
        <v>3.312265625</v>
      </c>
      <c r="D10" s="7">
        <v>0.643098781139276</v>
      </c>
      <c r="E10" s="7">
        <v>1.624</v>
      </c>
      <c r="F10" s="7">
        <v>2.9345</v>
      </c>
      <c r="G10" s="7">
        <v>3.319</v>
      </c>
      <c r="H10" s="7">
        <v>3.6805</v>
      </c>
      <c r="I10" s="7">
        <v>4.73</v>
      </c>
    </row>
    <row r="11" spans="1:9">
      <c r="A11" s="6" t="s">
        <v>17</v>
      </c>
      <c r="B11">
        <v>3456</v>
      </c>
      <c r="C11" s="7">
        <v>2.7528822337963</v>
      </c>
      <c r="D11" s="7">
        <v>1.4948729829125</v>
      </c>
      <c r="E11" s="7">
        <v>0.077</v>
      </c>
      <c r="F11" s="7">
        <v>1.41875</v>
      </c>
      <c r="G11" s="7">
        <v>2.6845</v>
      </c>
      <c r="H11" s="7">
        <v>4.18125</v>
      </c>
      <c r="I11" s="7">
        <v>5.576</v>
      </c>
    </row>
    <row r="12" spans="1:9">
      <c r="A12" s="6" t="s">
        <v>18</v>
      </c>
      <c r="B12">
        <v>3456</v>
      </c>
      <c r="C12" s="7">
        <v>0.755592881944444</v>
      </c>
      <c r="D12" s="7">
        <v>0.633505291243297</v>
      </c>
      <c r="E12" s="7">
        <v>-0.288</v>
      </c>
      <c r="F12" s="7">
        <v>0.089</v>
      </c>
      <c r="G12" s="7">
        <v>0.7335</v>
      </c>
      <c r="H12" s="7">
        <v>1.327</v>
      </c>
      <c r="I12" s="7">
        <v>2.01</v>
      </c>
    </row>
    <row r="13" spans="1:9">
      <c r="A13" s="6" t="s">
        <v>19</v>
      </c>
      <c r="B13">
        <v>3456</v>
      </c>
      <c r="C13" s="7">
        <v>1.80845052083333</v>
      </c>
      <c r="D13" s="7">
        <v>1.51413523241399</v>
      </c>
      <c r="E13" s="7">
        <v>-0.792</v>
      </c>
      <c r="F13" s="7">
        <v>0.38575</v>
      </c>
      <c r="G13" s="7">
        <v>1.846</v>
      </c>
      <c r="H13" s="7">
        <v>3.068</v>
      </c>
      <c r="I13" s="7">
        <v>4.687</v>
      </c>
    </row>
    <row r="14" spans="1:9">
      <c r="A14" s="6" t="s">
        <v>20</v>
      </c>
      <c r="B14">
        <v>3456</v>
      </c>
      <c r="C14" s="7">
        <v>19.7274565972222</v>
      </c>
      <c r="D14" s="7">
        <v>9.01234311570323</v>
      </c>
      <c r="E14" s="7">
        <v>9.1</v>
      </c>
      <c r="F14" s="7">
        <v>13.84</v>
      </c>
      <c r="G14" s="7">
        <v>17.3</v>
      </c>
      <c r="H14" s="7">
        <v>22.8125</v>
      </c>
      <c r="I14" s="7">
        <v>82.69</v>
      </c>
    </row>
    <row r="15" spans="1:9">
      <c r="A15" s="6" t="s">
        <v>21</v>
      </c>
      <c r="B15">
        <v>3456</v>
      </c>
      <c r="C15" s="7">
        <v>0.000277780314170022</v>
      </c>
      <c r="D15" s="7">
        <v>0.0113851373175907</v>
      </c>
      <c r="E15" s="7">
        <v>-0.0911404151140003</v>
      </c>
      <c r="F15" s="7">
        <v>-0.00394858107308416</v>
      </c>
      <c r="G15" s="7">
        <v>0.000802203922777522</v>
      </c>
      <c r="H15" s="7">
        <v>0.00560423776910257</v>
      </c>
      <c r="I15" s="7">
        <v>0.101406425109598</v>
      </c>
    </row>
    <row r="16" spans="1:9">
      <c r="A16" s="6" t="s">
        <v>22</v>
      </c>
      <c r="B16">
        <v>3456</v>
      </c>
      <c r="C16" s="7">
        <v>-0.000132242640443744</v>
      </c>
      <c r="D16" s="7">
        <v>0.017722246413525</v>
      </c>
      <c r="E16" s="7">
        <v>-0.118781580257183</v>
      </c>
      <c r="F16" s="7">
        <v>-0.007367799625011</v>
      </c>
      <c r="G16" s="7">
        <v>-0.00015934070606427</v>
      </c>
      <c r="H16" s="7">
        <v>0.00819615220371905</v>
      </c>
      <c r="I16" s="7">
        <v>0.13492145732808</v>
      </c>
    </row>
    <row r="17" spans="1:9">
      <c r="A17" s="6" t="s">
        <v>23</v>
      </c>
      <c r="B17">
        <v>3456</v>
      </c>
      <c r="C17" s="7">
        <v>-4.46056447553263e-5</v>
      </c>
      <c r="D17" s="7">
        <v>0.0114304758611679</v>
      </c>
      <c r="E17" s="7">
        <v>-0.115124283346137</v>
      </c>
      <c r="F17" s="7">
        <v>-0.00490551166072661</v>
      </c>
      <c r="G17" s="7">
        <v>0.000426926713394948</v>
      </c>
      <c r="H17" s="7">
        <v>0.00561801365090497</v>
      </c>
      <c r="I17" s="7">
        <v>0.0866680652766671</v>
      </c>
    </row>
    <row r="18" spans="1:9">
      <c r="A18" s="6" t="s">
        <v>24</v>
      </c>
      <c r="B18">
        <v>3456</v>
      </c>
      <c r="C18" s="7">
        <v>5.0093528170365e-5</v>
      </c>
      <c r="D18" s="7">
        <v>0.0131471026234347</v>
      </c>
      <c r="E18" s="7">
        <v>-0.103188070560263</v>
      </c>
      <c r="F18" s="7">
        <v>-0.00686797710927634</v>
      </c>
      <c r="G18" s="7">
        <v>8.54877159071066e-5</v>
      </c>
      <c r="H18" s="7">
        <v>0.00734825590520138</v>
      </c>
      <c r="I18" s="7">
        <v>0.110522042450562</v>
      </c>
    </row>
    <row r="19" spans="1:9">
      <c r="A19" s="6" t="s">
        <v>25</v>
      </c>
      <c r="B19">
        <v>3456</v>
      </c>
      <c r="C19" s="7">
        <v>0.000333460083462762</v>
      </c>
      <c r="D19" s="7">
        <v>0.0130592852280774</v>
      </c>
      <c r="E19" s="7">
        <v>-0.103809022931401</v>
      </c>
      <c r="F19" s="7">
        <v>-0.0057190512328491</v>
      </c>
      <c r="G19" s="7">
        <v>0.000838993659123766</v>
      </c>
      <c r="H19" s="7">
        <v>0.00708357766684386</v>
      </c>
      <c r="I19" s="7">
        <v>0.0928315107712532</v>
      </c>
    </row>
    <row r="20" spans="1:9">
      <c r="A20" s="6" t="s">
        <v>26</v>
      </c>
      <c r="B20">
        <v>3456</v>
      </c>
      <c r="C20" s="7">
        <v>-0.3660234375</v>
      </c>
      <c r="D20" s="7">
        <v>1.3568897267519</v>
      </c>
      <c r="E20" s="7">
        <v>-2.558</v>
      </c>
      <c r="F20" s="7">
        <v>-1.4525</v>
      </c>
      <c r="G20" s="7">
        <v>-0.7105</v>
      </c>
      <c r="H20" s="7">
        <v>0.507</v>
      </c>
      <c r="I20" s="7">
        <v>3.127</v>
      </c>
    </row>
    <row r="21" spans="1:9">
      <c r="A21" s="6" t="s">
        <v>27</v>
      </c>
      <c r="B21">
        <v>3456</v>
      </c>
      <c r="C21" s="7">
        <v>1.13779166666667</v>
      </c>
      <c r="D21" s="7">
        <v>0.83668086926251</v>
      </c>
      <c r="E21" s="7">
        <v>-0.895</v>
      </c>
      <c r="F21" s="7">
        <v>0.344</v>
      </c>
      <c r="G21" s="7">
        <v>1.337</v>
      </c>
      <c r="H21" s="7">
        <v>1.78625</v>
      </c>
      <c r="I21" s="7">
        <v>2.787</v>
      </c>
    </row>
    <row r="22" spans="1:9">
      <c r="A22" s="6" t="s">
        <v>28</v>
      </c>
      <c r="B22">
        <v>3456</v>
      </c>
      <c r="C22" s="7">
        <v>0.193359953703704</v>
      </c>
      <c r="D22" s="7">
        <v>0.624975824763727</v>
      </c>
      <c r="E22" s="7">
        <v>-1.174</v>
      </c>
      <c r="F22" s="7">
        <v>-0.24725</v>
      </c>
      <c r="G22" s="7">
        <v>0.0695000000000001</v>
      </c>
      <c r="H22" s="7">
        <v>0.567249999999999</v>
      </c>
      <c r="I22" s="7">
        <v>1.718</v>
      </c>
    </row>
    <row r="23" spans="1:9">
      <c r="A23" s="6" t="s">
        <v>29</v>
      </c>
      <c r="B23">
        <v>3456</v>
      </c>
      <c r="C23" s="7">
        <v>2.19064930555556</v>
      </c>
      <c r="D23" s="7">
        <v>0.768821087277556</v>
      </c>
      <c r="E23" s="7">
        <v>0.508</v>
      </c>
      <c r="F23" s="7">
        <v>1.69675</v>
      </c>
      <c r="G23" s="7">
        <v>2.171</v>
      </c>
      <c r="H23" s="7">
        <v>2.849</v>
      </c>
      <c r="I23" s="7">
        <v>4.139</v>
      </c>
    </row>
    <row r="24" spans="1:9">
      <c r="A24" s="6" t="s">
        <v>30</v>
      </c>
      <c r="B24">
        <v>3456</v>
      </c>
      <c r="C24" s="7">
        <v>1.50381510416667</v>
      </c>
      <c r="D24" s="7">
        <v>1.54597094878484</v>
      </c>
      <c r="E24" s="7">
        <v>-1.093</v>
      </c>
      <c r="F24" s="7">
        <v>0.073</v>
      </c>
      <c r="G24" s="7">
        <v>1.7155</v>
      </c>
      <c r="H24" s="7">
        <v>3.03475</v>
      </c>
      <c r="I24" s="7">
        <v>3.978</v>
      </c>
    </row>
    <row r="25" spans="1:9">
      <c r="A25" s="6" t="s">
        <v>31</v>
      </c>
      <c r="B25">
        <v>3456</v>
      </c>
      <c r="C25" s="7">
        <v>0.559383391203704</v>
      </c>
      <c r="D25" s="7">
        <v>1.641754427523</v>
      </c>
      <c r="E25" s="7">
        <v>-3.162</v>
      </c>
      <c r="F25" s="7">
        <v>-0.69925</v>
      </c>
      <c r="G25" s="7">
        <v>1.181</v>
      </c>
      <c r="H25" s="7">
        <v>1.9405</v>
      </c>
      <c r="I25" s="7">
        <v>3.151</v>
      </c>
    </row>
    <row r="26" spans="1:9">
      <c r="A26" s="6" t="s">
        <v>32</v>
      </c>
      <c r="B26">
        <v>3456</v>
      </c>
      <c r="C26" s="7">
        <v>2.55667274305556</v>
      </c>
      <c r="D26" s="7">
        <v>0.861978623954268</v>
      </c>
      <c r="E26" s="7">
        <v>0.004</v>
      </c>
      <c r="F26" s="7">
        <v>2.12</v>
      </c>
      <c r="G26" s="7">
        <v>2.732</v>
      </c>
      <c r="H26" s="7">
        <v>3.14225</v>
      </c>
      <c r="I26" s="7">
        <v>4.115</v>
      </c>
    </row>
    <row r="27" spans="1:9">
      <c r="A27" s="6" t="s">
        <v>33</v>
      </c>
      <c r="B27">
        <v>3456</v>
      </c>
      <c r="C27" s="7">
        <v>-0.944431712962963</v>
      </c>
      <c r="D27" s="7">
        <v>0.475868843854229</v>
      </c>
      <c r="E27" s="7">
        <v>-2.343</v>
      </c>
      <c r="F27" s="7">
        <v>-1.192</v>
      </c>
      <c r="G27" s="7">
        <v>-0.889</v>
      </c>
      <c r="H27" s="7">
        <v>-0.607</v>
      </c>
      <c r="I27" s="7">
        <v>0.144</v>
      </c>
    </row>
    <row r="28" spans="1:9">
      <c r="A28" s="6" t="s">
        <v>34</v>
      </c>
      <c r="B28">
        <v>3456</v>
      </c>
      <c r="C28" s="7">
        <v>1.05285763888889</v>
      </c>
      <c r="D28" s="7">
        <v>0.940956669010138</v>
      </c>
      <c r="E28" s="7">
        <v>-0.754</v>
      </c>
      <c r="F28" s="7">
        <v>0.276</v>
      </c>
      <c r="G28" s="7">
        <v>1.02</v>
      </c>
      <c r="H28" s="7">
        <v>1.8995</v>
      </c>
      <c r="I28" s="7">
        <v>3.027</v>
      </c>
    </row>
    <row r="29" spans="1:9">
      <c r="A29" s="6" t="s">
        <v>35</v>
      </c>
      <c r="B29">
        <v>3456</v>
      </c>
      <c r="C29" s="7">
        <v>1.99728935185185</v>
      </c>
      <c r="D29" s="7">
        <v>0.975036107483571</v>
      </c>
      <c r="E29" s="7">
        <v>0.061</v>
      </c>
      <c r="F29" s="7">
        <v>1.19775</v>
      </c>
      <c r="G29" s="7">
        <v>1.99</v>
      </c>
      <c r="H29" s="7">
        <v>2.8995</v>
      </c>
      <c r="I29" s="7">
        <v>4.286</v>
      </c>
    </row>
    <row r="30" spans="1:9">
      <c r="A30" s="6" t="s">
        <v>36</v>
      </c>
      <c r="B30">
        <v>3456</v>
      </c>
      <c r="C30" s="7">
        <v>-0.0416435185185185</v>
      </c>
      <c r="D30" s="7">
        <v>1.91786788158997</v>
      </c>
      <c r="E30" s="7">
        <v>-17.45</v>
      </c>
      <c r="F30" s="7">
        <v>-0.799999999999999</v>
      </c>
      <c r="G30" s="7">
        <v>-0.0999999999999979</v>
      </c>
      <c r="H30" s="7">
        <v>0.59</v>
      </c>
      <c r="I30" s="7">
        <v>24.86</v>
      </c>
    </row>
    <row r="31" spans="1:9">
      <c r="A31" s="6" t="s">
        <v>37</v>
      </c>
      <c r="B31">
        <v>3456</v>
      </c>
      <c r="C31" s="7">
        <v>-2.93016330502913e-5</v>
      </c>
      <c r="D31" s="7">
        <v>0.00485470571366204</v>
      </c>
      <c r="E31" s="7">
        <v>-0.0306456730541438</v>
      </c>
      <c r="F31" s="7">
        <v>-0.0028056636024909</v>
      </c>
      <c r="G31" s="7">
        <v>0</v>
      </c>
      <c r="H31" s="7">
        <v>0.00273436457398035</v>
      </c>
      <c r="I31" s="7">
        <v>0.0240746502038318</v>
      </c>
    </row>
    <row r="32" spans="1:9">
      <c r="A32" s="6" t="s">
        <v>38</v>
      </c>
      <c r="B32">
        <v>3456</v>
      </c>
      <c r="C32" s="7">
        <v>-2.91693759485258e-5</v>
      </c>
      <c r="D32" s="7">
        <v>0.00485514877102687</v>
      </c>
      <c r="E32" s="7">
        <v>-0.0306456730541438</v>
      </c>
      <c r="F32" s="7">
        <v>-0.00281492124099847</v>
      </c>
      <c r="G32" s="7">
        <v>0</v>
      </c>
      <c r="H32" s="7">
        <v>0.00273436457398035</v>
      </c>
      <c r="I32" s="7">
        <v>0.0240746502038318</v>
      </c>
    </row>
    <row r="33" spans="1:9">
      <c r="A33" s="6" t="s">
        <v>39</v>
      </c>
      <c r="B33">
        <v>3456</v>
      </c>
      <c r="C33" s="7">
        <v>-3.13032060725168e-5</v>
      </c>
      <c r="D33" s="7">
        <v>0.00485377181332975</v>
      </c>
      <c r="E33" s="7">
        <v>-0.0306456730541438</v>
      </c>
      <c r="F33" s="7">
        <v>-0.00281492124099847</v>
      </c>
      <c r="G33" s="7">
        <v>0</v>
      </c>
      <c r="H33" s="7">
        <v>0.00273078342545663</v>
      </c>
      <c r="I33" s="7">
        <v>0.0240746502038318</v>
      </c>
    </row>
    <row r="34" spans="1:9">
      <c r="A34" s="6" t="s">
        <v>40</v>
      </c>
      <c r="B34">
        <v>3456</v>
      </c>
      <c r="C34" s="7">
        <v>-2.78930920386324e-5</v>
      </c>
      <c r="D34" s="7">
        <v>0.00485286580795835</v>
      </c>
      <c r="E34" s="7">
        <v>-0.0306456730541438</v>
      </c>
      <c r="F34" s="7">
        <v>-0.0028019516004747</v>
      </c>
      <c r="G34" s="7">
        <v>0</v>
      </c>
      <c r="H34" s="7">
        <v>0.00273078342545663</v>
      </c>
      <c r="I34" s="7">
        <v>0.0240746502038318</v>
      </c>
    </row>
    <row r="35" spans="1:9">
      <c r="A35" s="6" t="s">
        <v>41</v>
      </c>
      <c r="B35">
        <v>3456</v>
      </c>
      <c r="C35" s="7">
        <v>0.00408036414613843</v>
      </c>
      <c r="D35" s="7">
        <v>0.00255165158993352</v>
      </c>
      <c r="E35" s="7">
        <v>5.93595428482579e-5</v>
      </c>
      <c r="F35" s="7">
        <v>0.00227149053811835</v>
      </c>
      <c r="G35" s="7">
        <v>0.00364014625580858</v>
      </c>
      <c r="H35" s="7">
        <v>0.00537996474489946</v>
      </c>
      <c r="I35" s="7">
        <v>0.0208751090888771</v>
      </c>
    </row>
    <row r="36" spans="1:9">
      <c r="A36" s="6" t="s">
        <v>42</v>
      </c>
      <c r="B36">
        <v>3456</v>
      </c>
      <c r="C36" s="7">
        <v>0.00442097133153313</v>
      </c>
      <c r="D36" s="7">
        <v>0.00197446317552917</v>
      </c>
      <c r="E36" s="7">
        <v>0.000711267607073691</v>
      </c>
      <c r="F36" s="7">
        <v>0.00308818541766268</v>
      </c>
      <c r="G36" s="7">
        <v>0.00410912217800822</v>
      </c>
      <c r="H36" s="7">
        <v>0.00530324904942878</v>
      </c>
      <c r="I36" s="7">
        <v>0.0177577666076319</v>
      </c>
    </row>
    <row r="37" spans="1:9">
      <c r="A37" s="6" t="s">
        <v>43</v>
      </c>
      <c r="B37">
        <v>3456</v>
      </c>
      <c r="C37" s="7">
        <v>0.00452818733630253</v>
      </c>
      <c r="D37" s="7">
        <v>0.00173933304897497</v>
      </c>
      <c r="E37" s="7">
        <v>0.00121655745997448</v>
      </c>
      <c r="F37" s="7">
        <v>0.00338457363528151</v>
      </c>
      <c r="G37" s="7">
        <v>0.00420538088036729</v>
      </c>
      <c r="H37" s="7">
        <v>0.00532345815061694</v>
      </c>
      <c r="I37" s="7">
        <v>0.0137710784370495</v>
      </c>
    </row>
    <row r="38" spans="1:9">
      <c r="C38" s="7"/>
      <c r="D38" s="7"/>
      <c r="E38" s="7"/>
      <c r="F38" s="7"/>
      <c r="G38" s="7"/>
      <c r="H38" s="7"/>
      <c r="I38" s="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abSelected="1" workbookViewId="0">
      <selection activeCell="L34" sqref="L34"/>
    </sheetView>
  </sheetViews>
  <sheetFormatPr defaultColWidth="8.72727272727273" defaultRowHeight="14"/>
  <cols>
    <col min="1" max="1" width="26.2727272727273" customWidth="1"/>
    <col min="2" max="2" width="8.63636363636364" style="1" customWidth="1"/>
    <col min="3" max="3" width="14" customWidth="1"/>
    <col min="4" max="4" width="12.8181818181818" customWidth="1"/>
    <col min="5" max="7" width="14" customWidth="1"/>
    <col min="8" max="9" width="12.8181818181818" customWidth="1"/>
  </cols>
  <sheetData>
    <row r="1" spans="1:9">
      <c r="A1" s="2"/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>
      <c r="A2" s="4" t="s">
        <v>8</v>
      </c>
      <c r="B2" s="5">
        <v>3456</v>
      </c>
      <c r="C2" s="2">
        <f>Sheet1!C2*100000</f>
        <v>-2.90269444590864</v>
      </c>
      <c r="D2" s="2">
        <f>Sheet1!D2*100000</f>
        <v>485.440854584736</v>
      </c>
      <c r="E2" s="2">
        <f>Sheet1!E2*100000</f>
        <v>-3064.56730541438</v>
      </c>
      <c r="F2" s="2">
        <f>Sheet1!F2*100000</f>
        <v>-280.56636024909</v>
      </c>
      <c r="G2" s="2">
        <f>Sheet1!G2*100000</f>
        <v>0</v>
      </c>
      <c r="H2" s="2">
        <f>Sheet1!H2*100000</f>
        <v>273.436457398035</v>
      </c>
      <c r="I2" s="2">
        <f>Sheet1!I2*100000</f>
        <v>2407.46502038318</v>
      </c>
    </row>
    <row r="3" spans="1:9">
      <c r="A3" s="4" t="s">
        <v>9</v>
      </c>
      <c r="B3" s="5">
        <v>3456</v>
      </c>
      <c r="C3" s="2">
        <f>Sheet1!C3*100000</f>
        <v>-6.4345210578518</v>
      </c>
      <c r="D3" s="2">
        <f>Sheet1!D3*100000</f>
        <v>583.521986642311</v>
      </c>
      <c r="E3" s="2">
        <f>Sheet1!E3*100000</f>
        <v>-3631.4618450978</v>
      </c>
      <c r="F3" s="2">
        <f>Sheet1!F3*100000</f>
        <v>-333.999934061501</v>
      </c>
      <c r="G3" s="2">
        <f>Sheet1!G3*100000</f>
        <v>0</v>
      </c>
      <c r="H3" s="2">
        <f>Sheet1!H3*100000</f>
        <v>305.99885813401</v>
      </c>
      <c r="I3" s="2">
        <f>Sheet1!I3*100000</f>
        <v>3137.2121394295</v>
      </c>
    </row>
    <row r="4" spans="1:9">
      <c r="A4" s="4" t="s">
        <v>10</v>
      </c>
      <c r="B4" s="5">
        <v>3456</v>
      </c>
      <c r="C4" s="2">
        <f>Sheet1!C4*100000</f>
        <v>2.18513987719126</v>
      </c>
      <c r="D4" s="2">
        <f>Sheet1!D4*100000</f>
        <v>552.308453820948</v>
      </c>
      <c r="E4" s="2">
        <f>Sheet1!E4*100000</f>
        <v>-3889.67264565059</v>
      </c>
      <c r="F4" s="2">
        <f>Sheet1!F4*100000</f>
        <v>-276.973962931715</v>
      </c>
      <c r="G4" s="2">
        <f>Sheet1!G4*100000</f>
        <v>9.14069289241759</v>
      </c>
      <c r="H4" s="2">
        <f>Sheet1!H4*100000</f>
        <v>301.926964746957</v>
      </c>
      <c r="I4" s="2">
        <f>Sheet1!I4*100000</f>
        <v>3433.26790805047</v>
      </c>
    </row>
    <row r="5" spans="1:9">
      <c r="A5" s="4" t="s">
        <v>11</v>
      </c>
      <c r="B5" s="5">
        <v>3456</v>
      </c>
      <c r="C5" s="2">
        <f>Sheet1!C5*100000</f>
        <v>-7.41953735202948</v>
      </c>
      <c r="D5" s="2">
        <f>Sheet1!D5*100000</f>
        <v>607.787909207405</v>
      </c>
      <c r="E5" s="2">
        <f>Sheet1!E5*100000</f>
        <v>-2983.83593862911</v>
      </c>
      <c r="F5" s="2">
        <f>Sheet1!F5*100000</f>
        <v>-337.926046468352</v>
      </c>
      <c r="G5" s="2">
        <f>Sheet1!G5*100000</f>
        <v>-15.7010544219072</v>
      </c>
      <c r="H5" s="2">
        <f>Sheet1!H5*100000</f>
        <v>316.886182018564</v>
      </c>
      <c r="I5" s="2">
        <f>Sheet1!I5*100000</f>
        <v>9200.58242612076</v>
      </c>
    </row>
    <row r="6" spans="1:9">
      <c r="A6" s="4" t="s">
        <v>12</v>
      </c>
      <c r="B6" s="5">
        <v>3456</v>
      </c>
      <c r="C6" s="2">
        <f>Sheet1!C6*100000</f>
        <v>-1.22964291320962</v>
      </c>
      <c r="D6" s="2">
        <f>Sheet1!D6*100000</f>
        <v>197.644075752701</v>
      </c>
      <c r="E6" s="2">
        <f>Sheet1!E6*100000</f>
        <v>-1589.14615337131</v>
      </c>
      <c r="F6" s="2">
        <f>Sheet1!F6*100000</f>
        <v>-74.122625766293</v>
      </c>
      <c r="G6" s="2">
        <f>Sheet1!G6*100000</f>
        <v>-1.60880499863181</v>
      </c>
      <c r="H6" s="2">
        <f>Sheet1!H6*100000</f>
        <v>61.9834731251434</v>
      </c>
      <c r="I6" s="2">
        <f>Sheet1!I6*100000</f>
        <v>2444.77811501449</v>
      </c>
    </row>
    <row r="7" spans="1:9">
      <c r="A7" s="4" t="s">
        <v>13</v>
      </c>
      <c r="B7" s="5">
        <v>3456</v>
      </c>
      <c r="C7" s="2">
        <f>Sheet1!C7*100000</f>
        <v>29.5642202068942</v>
      </c>
      <c r="D7" s="2">
        <f>Sheet1!D7*100000</f>
        <v>1151.93158475975</v>
      </c>
      <c r="E7" s="2">
        <f>Sheet1!E7*100000</f>
        <v>-9039.80706512888</v>
      </c>
      <c r="F7" s="2">
        <f>Sheet1!F7*100000</f>
        <v>-521.495972940578</v>
      </c>
      <c r="G7" s="2">
        <f>Sheet1!G7*100000</f>
        <v>57.576891570843</v>
      </c>
      <c r="H7" s="2">
        <f>Sheet1!H7*100000</f>
        <v>645.782837498787</v>
      </c>
      <c r="I7" s="2">
        <f>Sheet1!I7*100000</f>
        <v>10537.3288599626</v>
      </c>
    </row>
    <row r="8" spans="1:9">
      <c r="A8" s="4" t="s">
        <v>14</v>
      </c>
      <c r="B8" s="5">
        <v>3456</v>
      </c>
      <c r="C8" s="2">
        <f>Sheet1!C8*100000</f>
        <v>-40.667940430347</v>
      </c>
      <c r="D8" s="2">
        <f>Sheet1!D8*100000</f>
        <v>2436.14226714703</v>
      </c>
      <c r="E8" s="2">
        <f>Sheet1!E8*100000</f>
        <v>-26188.9317890052</v>
      </c>
      <c r="F8" s="2">
        <f>Sheet1!F8*100000</f>
        <v>-1258.53386074475</v>
      </c>
      <c r="G8" s="2">
        <f>Sheet1!G8*100000</f>
        <v>19.0693979855938</v>
      </c>
      <c r="H8" s="2">
        <f>Sheet1!H8*100000</f>
        <v>1248.40318340607</v>
      </c>
      <c r="I8" s="2">
        <f>Sheet1!I8*100000</f>
        <v>16694.5736431845</v>
      </c>
    </row>
    <row r="9" spans="1:9">
      <c r="A9" s="4" t="s">
        <v>15</v>
      </c>
      <c r="B9" s="5">
        <v>3456</v>
      </c>
      <c r="C9" s="2">
        <f>Sheet1!C9</f>
        <v>2.9462421875</v>
      </c>
      <c r="D9" s="2">
        <f>Sheet1!D9</f>
        <v>1.13027077148395</v>
      </c>
      <c r="E9" s="2">
        <f>Sheet1!E9</f>
        <v>0.512</v>
      </c>
      <c r="F9" s="2">
        <f>Sheet1!F9</f>
        <v>2.0345</v>
      </c>
      <c r="G9" s="2">
        <f>Sheet1!G9</f>
        <v>2.824</v>
      </c>
      <c r="H9" s="2">
        <f>Sheet1!H9</f>
        <v>3.86725</v>
      </c>
      <c r="I9" s="2">
        <f>Sheet1!I9</f>
        <v>5.289</v>
      </c>
    </row>
    <row r="10" spans="1:9">
      <c r="A10" s="4" t="s">
        <v>16</v>
      </c>
      <c r="B10" s="5">
        <v>3456</v>
      </c>
      <c r="C10" s="2">
        <f>Sheet1!C10</f>
        <v>3.312265625</v>
      </c>
      <c r="D10" s="2">
        <f>Sheet1!D10</f>
        <v>0.643098781139276</v>
      </c>
      <c r="E10" s="2">
        <f>Sheet1!E10</f>
        <v>1.624</v>
      </c>
      <c r="F10" s="2">
        <f>Sheet1!F10</f>
        <v>2.9345</v>
      </c>
      <c r="G10" s="2">
        <f>Sheet1!G10</f>
        <v>3.319</v>
      </c>
      <c r="H10" s="2">
        <f>Sheet1!H10</f>
        <v>3.6805</v>
      </c>
      <c r="I10" s="2">
        <f>Sheet1!I10</f>
        <v>4.73</v>
      </c>
    </row>
    <row r="11" spans="1:9">
      <c r="A11" s="4" t="s">
        <v>17</v>
      </c>
      <c r="B11" s="5">
        <v>3456</v>
      </c>
      <c r="C11" s="2">
        <f>Sheet1!C11</f>
        <v>2.7528822337963</v>
      </c>
      <c r="D11" s="2">
        <f>Sheet1!D11</f>
        <v>1.4948729829125</v>
      </c>
      <c r="E11" s="2">
        <f>Sheet1!E11</f>
        <v>0.077</v>
      </c>
      <c r="F11" s="2">
        <f>Sheet1!F11</f>
        <v>1.41875</v>
      </c>
      <c r="G11" s="2">
        <f>Sheet1!G11</f>
        <v>2.6845</v>
      </c>
      <c r="H11" s="2">
        <f>Sheet1!H11</f>
        <v>4.18125</v>
      </c>
      <c r="I11" s="2">
        <f>Sheet1!I11</f>
        <v>5.576</v>
      </c>
    </row>
    <row r="12" spans="1:9">
      <c r="A12" s="4" t="s">
        <v>18</v>
      </c>
      <c r="B12" s="5">
        <v>3456</v>
      </c>
      <c r="C12" s="2">
        <f>Sheet1!C12</f>
        <v>0.755592881944444</v>
      </c>
      <c r="D12" s="2">
        <f>Sheet1!D12</f>
        <v>0.633505291243297</v>
      </c>
      <c r="E12" s="2">
        <f>Sheet1!E12</f>
        <v>-0.288</v>
      </c>
      <c r="F12" s="2">
        <f>Sheet1!F12</f>
        <v>0.089</v>
      </c>
      <c r="G12" s="2">
        <f>Sheet1!G12</f>
        <v>0.7335</v>
      </c>
      <c r="H12" s="2">
        <f>Sheet1!H12</f>
        <v>1.327</v>
      </c>
      <c r="I12" s="2">
        <f>Sheet1!I12</f>
        <v>2.01</v>
      </c>
    </row>
    <row r="13" spans="1:9">
      <c r="A13" s="4" t="s">
        <v>19</v>
      </c>
      <c r="B13" s="5">
        <v>3456</v>
      </c>
      <c r="C13" s="2">
        <f>Sheet1!C13</f>
        <v>1.80845052083333</v>
      </c>
      <c r="D13" s="2">
        <f>Sheet1!D13</f>
        <v>1.51413523241399</v>
      </c>
      <c r="E13" s="2">
        <f>Sheet1!E13</f>
        <v>-0.792</v>
      </c>
      <c r="F13" s="2">
        <f>Sheet1!F13</f>
        <v>0.38575</v>
      </c>
      <c r="G13" s="2">
        <f>Sheet1!G13</f>
        <v>1.846</v>
      </c>
      <c r="H13" s="2">
        <f>Sheet1!H13</f>
        <v>3.068</v>
      </c>
      <c r="I13" s="2">
        <f>Sheet1!I13</f>
        <v>4.687</v>
      </c>
    </row>
    <row r="14" spans="1:9">
      <c r="A14" s="4" t="s">
        <v>20</v>
      </c>
      <c r="B14" s="5">
        <v>3456</v>
      </c>
      <c r="C14" s="2">
        <f>Sheet1!C14</f>
        <v>19.7274565972222</v>
      </c>
      <c r="D14" s="2">
        <f>Sheet1!D14</f>
        <v>9.01234311570323</v>
      </c>
      <c r="E14" s="2">
        <f>Sheet1!E14</f>
        <v>9.1</v>
      </c>
      <c r="F14" s="2">
        <f>Sheet1!F14</f>
        <v>13.84</v>
      </c>
      <c r="G14" s="2">
        <f>Sheet1!G14</f>
        <v>17.3</v>
      </c>
      <c r="H14" s="2">
        <f>Sheet1!H14</f>
        <v>22.8125</v>
      </c>
      <c r="I14" s="2">
        <f>Sheet1!I14</f>
        <v>82.69</v>
      </c>
    </row>
    <row r="15" spans="1:9">
      <c r="A15" s="4" t="s">
        <v>21</v>
      </c>
      <c r="B15" s="5">
        <v>3456</v>
      </c>
      <c r="C15" s="2">
        <f>Sheet1!C15*100000</f>
        <v>27.7780314170022</v>
      </c>
      <c r="D15" s="2">
        <f>Sheet1!D15*100000</f>
        <v>1138.51373175907</v>
      </c>
      <c r="E15" s="2">
        <f>Sheet1!E15*100000</f>
        <v>-9114.04151140003</v>
      </c>
      <c r="F15" s="2">
        <f>Sheet1!F15*100000</f>
        <v>-394.858107308416</v>
      </c>
      <c r="G15" s="2">
        <f>Sheet1!G15*100000</f>
        <v>80.2203922777522</v>
      </c>
      <c r="H15" s="2">
        <f>Sheet1!H15*100000</f>
        <v>560.423776910257</v>
      </c>
      <c r="I15" s="2">
        <f>Sheet1!I15*100000</f>
        <v>10140.6425109598</v>
      </c>
    </row>
    <row r="16" spans="1:9">
      <c r="A16" s="4" t="s">
        <v>22</v>
      </c>
      <c r="B16" s="5">
        <v>3456</v>
      </c>
      <c r="C16" s="2">
        <f>Sheet1!C16*100000</f>
        <v>-13.2242640443744</v>
      </c>
      <c r="D16" s="2">
        <f>Sheet1!D16*100000</f>
        <v>1772.2246413525</v>
      </c>
      <c r="E16" s="2">
        <f>Sheet1!E16*100000</f>
        <v>-11878.1580257183</v>
      </c>
      <c r="F16" s="2">
        <f>Sheet1!F16*100000</f>
        <v>-736.7799625011</v>
      </c>
      <c r="G16" s="2">
        <f>Sheet1!G16*100000</f>
        <v>-15.934070606427</v>
      </c>
      <c r="H16" s="2">
        <f>Sheet1!H16*100000</f>
        <v>819.615220371905</v>
      </c>
      <c r="I16" s="2">
        <f>Sheet1!I16*100000</f>
        <v>13492.145732808</v>
      </c>
    </row>
    <row r="17" spans="1:9">
      <c r="A17" s="4" t="s">
        <v>23</v>
      </c>
      <c r="B17" s="5">
        <v>3456</v>
      </c>
      <c r="C17" s="2">
        <f>Sheet1!C17*100000</f>
        <v>-4.46056447553263</v>
      </c>
      <c r="D17" s="2">
        <f>Sheet1!D17*100000</f>
        <v>1143.04758611679</v>
      </c>
      <c r="E17" s="2">
        <f>Sheet1!E17*100000</f>
        <v>-11512.4283346137</v>
      </c>
      <c r="F17" s="2">
        <f>Sheet1!F17*100000</f>
        <v>-490.551166072661</v>
      </c>
      <c r="G17" s="2">
        <f>Sheet1!G17*100000</f>
        <v>42.6926713394948</v>
      </c>
      <c r="H17" s="2">
        <f>Sheet1!H17*100000</f>
        <v>561.801365090497</v>
      </c>
      <c r="I17" s="2">
        <f>Sheet1!I17*100000</f>
        <v>8666.80652766671</v>
      </c>
    </row>
    <row r="18" spans="1:9">
      <c r="A18" s="4" t="s">
        <v>24</v>
      </c>
      <c r="B18" s="5">
        <v>3456</v>
      </c>
      <c r="C18" s="2">
        <f>Sheet1!C18*100000</f>
        <v>5.0093528170365</v>
      </c>
      <c r="D18" s="2">
        <f>Sheet1!D18*100000</f>
        <v>1314.71026234347</v>
      </c>
      <c r="E18" s="2">
        <f>Sheet1!E18*100000</f>
        <v>-10318.8070560263</v>
      </c>
      <c r="F18" s="2">
        <f>Sheet1!F18*100000</f>
        <v>-686.797710927633</v>
      </c>
      <c r="G18" s="2">
        <f>Sheet1!G18*100000</f>
        <v>8.54877159071066</v>
      </c>
      <c r="H18" s="2">
        <f>Sheet1!H18*100000</f>
        <v>734.825590520138</v>
      </c>
      <c r="I18" s="2">
        <f>Sheet1!I18*100000</f>
        <v>11052.2042450562</v>
      </c>
    </row>
    <row r="19" spans="1:9">
      <c r="A19" s="4" t="s">
        <v>25</v>
      </c>
      <c r="B19" s="5">
        <v>3456</v>
      </c>
      <c r="C19" s="2">
        <f>Sheet1!C19*100000</f>
        <v>33.3460083462762</v>
      </c>
      <c r="D19" s="2">
        <f>Sheet1!D19*100000</f>
        <v>1305.92852280774</v>
      </c>
      <c r="E19" s="2">
        <f>Sheet1!E19*100000</f>
        <v>-10380.9022931401</v>
      </c>
      <c r="F19" s="2">
        <f>Sheet1!F19*100000</f>
        <v>-571.90512328491</v>
      </c>
      <c r="G19" s="2">
        <f>Sheet1!G19*100000</f>
        <v>83.8993659123766</v>
      </c>
      <c r="H19" s="2">
        <f>Sheet1!H19*100000</f>
        <v>708.357766684386</v>
      </c>
      <c r="I19" s="2">
        <f>Sheet1!I19*100000</f>
        <v>9283.15107712532</v>
      </c>
    </row>
    <row r="20" spans="1:9">
      <c r="A20" s="4" t="s">
        <v>26</v>
      </c>
      <c r="B20" s="5">
        <v>3456</v>
      </c>
      <c r="C20" s="2">
        <f>Sheet1!C20</f>
        <v>-0.3660234375</v>
      </c>
      <c r="D20" s="2">
        <f>Sheet1!D20</f>
        <v>1.3568897267519</v>
      </c>
      <c r="E20" s="2">
        <f>Sheet1!E20</f>
        <v>-2.558</v>
      </c>
      <c r="F20" s="2">
        <f>Sheet1!F20</f>
        <v>-1.4525</v>
      </c>
      <c r="G20" s="2">
        <f>Sheet1!G20</f>
        <v>-0.7105</v>
      </c>
      <c r="H20" s="2">
        <f>Sheet1!H20</f>
        <v>0.507</v>
      </c>
      <c r="I20" s="2">
        <f>Sheet1!I20</f>
        <v>3.127</v>
      </c>
    </row>
    <row r="21" spans="1:9">
      <c r="A21" s="4" t="s">
        <v>27</v>
      </c>
      <c r="B21" s="5">
        <v>3456</v>
      </c>
      <c r="C21" s="2">
        <f>Sheet1!C21</f>
        <v>1.13779166666667</v>
      </c>
      <c r="D21" s="2">
        <f>Sheet1!D21</f>
        <v>0.83668086926251</v>
      </c>
      <c r="E21" s="2">
        <f>Sheet1!E21</f>
        <v>-0.895</v>
      </c>
      <c r="F21" s="2">
        <f>Sheet1!F21</f>
        <v>0.344</v>
      </c>
      <c r="G21" s="2">
        <f>Sheet1!G21</f>
        <v>1.337</v>
      </c>
      <c r="H21" s="2">
        <f>Sheet1!H21</f>
        <v>1.78625</v>
      </c>
      <c r="I21" s="2">
        <f>Sheet1!I21</f>
        <v>2.787</v>
      </c>
    </row>
    <row r="22" spans="1:9">
      <c r="A22" s="4" t="s">
        <v>28</v>
      </c>
      <c r="B22" s="5">
        <v>3456</v>
      </c>
      <c r="C22" s="2">
        <f>Sheet1!C22</f>
        <v>0.193359953703704</v>
      </c>
      <c r="D22" s="2">
        <f>Sheet1!D22</f>
        <v>0.624975824763727</v>
      </c>
      <c r="E22" s="2">
        <f>Sheet1!E22</f>
        <v>-1.174</v>
      </c>
      <c r="F22" s="2">
        <f>Sheet1!F22</f>
        <v>-0.24725</v>
      </c>
      <c r="G22" s="2">
        <f>Sheet1!G22</f>
        <v>0.0695000000000001</v>
      </c>
      <c r="H22" s="2">
        <f>Sheet1!H22</f>
        <v>0.567249999999999</v>
      </c>
      <c r="I22" s="2">
        <f>Sheet1!I22</f>
        <v>1.718</v>
      </c>
    </row>
    <row r="23" spans="1:9">
      <c r="A23" s="4" t="s">
        <v>29</v>
      </c>
      <c r="B23" s="5">
        <v>3456</v>
      </c>
      <c r="C23" s="2">
        <f>Sheet1!C23</f>
        <v>2.19064930555556</v>
      </c>
      <c r="D23" s="2">
        <f>Sheet1!D23</f>
        <v>0.768821087277556</v>
      </c>
      <c r="E23" s="2">
        <f>Sheet1!E23</f>
        <v>0.508</v>
      </c>
      <c r="F23" s="2">
        <f>Sheet1!F23</f>
        <v>1.69675</v>
      </c>
      <c r="G23" s="2">
        <f>Sheet1!G23</f>
        <v>2.171</v>
      </c>
      <c r="H23" s="2">
        <f>Sheet1!H23</f>
        <v>2.849</v>
      </c>
      <c r="I23" s="2">
        <f>Sheet1!I23</f>
        <v>4.139</v>
      </c>
    </row>
    <row r="24" spans="1:9">
      <c r="A24" s="4" t="s">
        <v>30</v>
      </c>
      <c r="B24" s="5">
        <v>3456</v>
      </c>
      <c r="C24" s="2">
        <f>Sheet1!C24</f>
        <v>1.50381510416667</v>
      </c>
      <c r="D24" s="2">
        <f>Sheet1!D24</f>
        <v>1.54597094878484</v>
      </c>
      <c r="E24" s="2">
        <f>Sheet1!E24</f>
        <v>-1.093</v>
      </c>
      <c r="F24" s="2">
        <f>Sheet1!F24</f>
        <v>0.073</v>
      </c>
      <c r="G24" s="2">
        <f>Sheet1!G24</f>
        <v>1.7155</v>
      </c>
      <c r="H24" s="2">
        <f>Sheet1!H24</f>
        <v>3.03475</v>
      </c>
      <c r="I24" s="2">
        <f>Sheet1!I24</f>
        <v>3.978</v>
      </c>
    </row>
    <row r="25" spans="1:9">
      <c r="A25" s="4" t="s">
        <v>31</v>
      </c>
      <c r="B25" s="5">
        <v>3456</v>
      </c>
      <c r="C25" s="2">
        <f>Sheet1!C25</f>
        <v>0.559383391203704</v>
      </c>
      <c r="D25" s="2">
        <f>Sheet1!D25</f>
        <v>1.641754427523</v>
      </c>
      <c r="E25" s="2">
        <f>Sheet1!E25</f>
        <v>-3.162</v>
      </c>
      <c r="F25" s="2">
        <f>Sheet1!F25</f>
        <v>-0.69925</v>
      </c>
      <c r="G25" s="2">
        <f>Sheet1!G25</f>
        <v>1.181</v>
      </c>
      <c r="H25" s="2">
        <f>Sheet1!H25</f>
        <v>1.9405</v>
      </c>
      <c r="I25" s="2">
        <f>Sheet1!I25</f>
        <v>3.151</v>
      </c>
    </row>
    <row r="26" spans="1:9">
      <c r="A26" s="4" t="s">
        <v>32</v>
      </c>
      <c r="B26" s="5">
        <v>3456</v>
      </c>
      <c r="C26" s="2">
        <f>Sheet1!C26</f>
        <v>2.55667274305556</v>
      </c>
      <c r="D26" s="2">
        <f>Sheet1!D26</f>
        <v>0.861978623954268</v>
      </c>
      <c r="E26" s="2">
        <f>Sheet1!E26</f>
        <v>0.004</v>
      </c>
      <c r="F26" s="2">
        <f>Sheet1!F26</f>
        <v>2.12</v>
      </c>
      <c r="G26" s="2">
        <f>Sheet1!G26</f>
        <v>2.732</v>
      </c>
      <c r="H26" s="2">
        <f>Sheet1!H26</f>
        <v>3.14225</v>
      </c>
      <c r="I26" s="2">
        <f>Sheet1!I26</f>
        <v>4.115</v>
      </c>
    </row>
    <row r="27" spans="1:9">
      <c r="A27" s="4" t="s">
        <v>33</v>
      </c>
      <c r="B27" s="5">
        <v>3456</v>
      </c>
      <c r="C27" s="2">
        <f>Sheet1!C27</f>
        <v>-0.944431712962963</v>
      </c>
      <c r="D27" s="2">
        <f>Sheet1!D27</f>
        <v>0.475868843854229</v>
      </c>
      <c r="E27" s="2">
        <f>Sheet1!E27</f>
        <v>-2.343</v>
      </c>
      <c r="F27" s="2">
        <f>Sheet1!F27</f>
        <v>-1.192</v>
      </c>
      <c r="G27" s="2">
        <f>Sheet1!G27</f>
        <v>-0.889</v>
      </c>
      <c r="H27" s="2">
        <f>Sheet1!H27</f>
        <v>-0.607</v>
      </c>
      <c r="I27" s="2">
        <f>Sheet1!I27</f>
        <v>0.144</v>
      </c>
    </row>
    <row r="28" spans="1:9">
      <c r="A28" s="4" t="s">
        <v>34</v>
      </c>
      <c r="B28" s="5">
        <v>3456</v>
      </c>
      <c r="C28" s="2">
        <f>Sheet1!C28</f>
        <v>1.05285763888889</v>
      </c>
      <c r="D28" s="2">
        <f>Sheet1!D28</f>
        <v>0.940956669010138</v>
      </c>
      <c r="E28" s="2">
        <f>Sheet1!E28</f>
        <v>-0.754</v>
      </c>
      <c r="F28" s="2">
        <f>Sheet1!F28</f>
        <v>0.276</v>
      </c>
      <c r="G28" s="2">
        <f>Sheet1!G28</f>
        <v>1.02</v>
      </c>
      <c r="H28" s="2">
        <f>Sheet1!H28</f>
        <v>1.8995</v>
      </c>
      <c r="I28" s="2">
        <f>Sheet1!I28</f>
        <v>3.027</v>
      </c>
    </row>
    <row r="29" spans="1:9">
      <c r="A29" s="4" t="s">
        <v>35</v>
      </c>
      <c r="B29" s="5">
        <v>3456</v>
      </c>
      <c r="C29" s="2">
        <f>Sheet1!C29</f>
        <v>1.99728935185185</v>
      </c>
      <c r="D29" s="2">
        <f>Sheet1!D29</f>
        <v>0.975036107483571</v>
      </c>
      <c r="E29" s="2">
        <f>Sheet1!E29</f>
        <v>0.061</v>
      </c>
      <c r="F29" s="2">
        <f>Sheet1!F29</f>
        <v>1.19775</v>
      </c>
      <c r="G29" s="2">
        <f>Sheet1!G29</f>
        <v>1.99</v>
      </c>
      <c r="H29" s="2">
        <f>Sheet1!H29</f>
        <v>2.8995</v>
      </c>
      <c r="I29" s="2">
        <f>Sheet1!I29</f>
        <v>4.286</v>
      </c>
    </row>
    <row r="30" spans="1:9">
      <c r="A30" s="4" t="s">
        <v>36</v>
      </c>
      <c r="B30" s="5">
        <v>3456</v>
      </c>
      <c r="C30" s="2">
        <f>Sheet1!C30</f>
        <v>-0.0416435185185185</v>
      </c>
      <c r="D30" s="2">
        <f>Sheet1!D30</f>
        <v>1.91786788158997</v>
      </c>
      <c r="E30" s="2">
        <f>Sheet1!E30</f>
        <v>-17.45</v>
      </c>
      <c r="F30" s="2">
        <f>Sheet1!F30</f>
        <v>-0.799999999999999</v>
      </c>
      <c r="G30" s="2">
        <f>Sheet1!G30</f>
        <v>-0.0999999999999979</v>
      </c>
      <c r="H30" s="2">
        <f>Sheet1!H30</f>
        <v>0.59</v>
      </c>
      <c r="I30" s="2">
        <f>Sheet1!I30</f>
        <v>24.86</v>
      </c>
    </row>
    <row r="31" spans="1:9">
      <c r="A31" s="4" t="s">
        <v>37</v>
      </c>
      <c r="B31" s="5">
        <v>3456</v>
      </c>
      <c r="C31" s="2">
        <f>Sheet1!C31*100000</f>
        <v>-2.93016330502913</v>
      </c>
      <c r="D31" s="2">
        <f>Sheet1!D31*100000</f>
        <v>485.470571366204</v>
      </c>
      <c r="E31" s="2">
        <f>Sheet1!E31*100000</f>
        <v>-3064.56730541438</v>
      </c>
      <c r="F31" s="2">
        <f>Sheet1!F31*100000</f>
        <v>-280.56636024909</v>
      </c>
      <c r="G31" s="2">
        <f>Sheet1!G31*100000</f>
        <v>0</v>
      </c>
      <c r="H31" s="2">
        <f>Sheet1!H31*100000</f>
        <v>273.436457398035</v>
      </c>
      <c r="I31" s="2">
        <f>Sheet1!I31*100000</f>
        <v>2407.46502038318</v>
      </c>
    </row>
    <row r="32" spans="1:9">
      <c r="A32" s="4" t="s">
        <v>38</v>
      </c>
      <c r="B32" s="5">
        <v>3456</v>
      </c>
      <c r="C32" s="2">
        <f>Sheet1!C32*100000</f>
        <v>-2.91693759485258</v>
      </c>
      <c r="D32" s="2">
        <f>Sheet1!D32*100000</f>
        <v>485.514877102687</v>
      </c>
      <c r="E32" s="2">
        <f>Sheet1!E32*100000</f>
        <v>-3064.56730541438</v>
      </c>
      <c r="F32" s="2">
        <f>Sheet1!F32*100000</f>
        <v>-281.492124099847</v>
      </c>
      <c r="G32" s="2">
        <f>Sheet1!G32*100000</f>
        <v>0</v>
      </c>
      <c r="H32" s="2">
        <f>Sheet1!H32*100000</f>
        <v>273.436457398035</v>
      </c>
      <c r="I32" s="2">
        <f>Sheet1!I32*100000</f>
        <v>2407.46502038318</v>
      </c>
    </row>
    <row r="33" spans="1:9">
      <c r="A33" s="4" t="s">
        <v>39</v>
      </c>
      <c r="B33" s="5">
        <v>3456</v>
      </c>
      <c r="C33" s="2">
        <f>Sheet1!C33*100000</f>
        <v>-3.13032060725168</v>
      </c>
      <c r="D33" s="2">
        <f>Sheet1!D33*100000</f>
        <v>485.377181332975</v>
      </c>
      <c r="E33" s="2">
        <f>Sheet1!E33*100000</f>
        <v>-3064.56730541438</v>
      </c>
      <c r="F33" s="2">
        <f>Sheet1!F33*100000</f>
        <v>-281.492124099847</v>
      </c>
      <c r="G33" s="2">
        <f>Sheet1!G33*100000</f>
        <v>0</v>
      </c>
      <c r="H33" s="2">
        <f>Sheet1!H33*100000</f>
        <v>273.078342545663</v>
      </c>
      <c r="I33" s="2">
        <f>Sheet1!I33*100000</f>
        <v>2407.46502038318</v>
      </c>
    </row>
    <row r="34" spans="1:9">
      <c r="A34" s="4" t="s">
        <v>40</v>
      </c>
      <c r="B34" s="5">
        <v>3456</v>
      </c>
      <c r="C34" s="2">
        <f>Sheet1!C34*100000</f>
        <v>-2.78930920386324</v>
      </c>
      <c r="D34" s="2">
        <f>Sheet1!D34*100000</f>
        <v>485.286580795835</v>
      </c>
      <c r="E34" s="2">
        <f>Sheet1!E34*100000</f>
        <v>-3064.56730541438</v>
      </c>
      <c r="F34" s="2">
        <f>Sheet1!F34*100000</f>
        <v>-280.19516004747</v>
      </c>
      <c r="G34" s="2">
        <f>Sheet1!G34*100000</f>
        <v>0</v>
      </c>
      <c r="H34" s="2">
        <f>Sheet1!H34*100000</f>
        <v>273.078342545663</v>
      </c>
      <c r="I34" s="2">
        <f>Sheet1!I34*100000</f>
        <v>2407.46502038318</v>
      </c>
    </row>
    <row r="35" spans="1:9">
      <c r="A35" s="4" t="s">
        <v>41</v>
      </c>
      <c r="B35" s="5">
        <v>3456</v>
      </c>
      <c r="C35" s="2">
        <f>Sheet1!C35*1000</f>
        <v>4.08036414613843</v>
      </c>
      <c r="D35" s="2">
        <f>Sheet1!D35*1000</f>
        <v>2.55165158993352</v>
      </c>
      <c r="E35" s="2">
        <f>Sheet1!E35*1000</f>
        <v>0.0593595428482579</v>
      </c>
      <c r="F35" s="2">
        <f>Sheet1!F35*1000</f>
        <v>2.27149053811835</v>
      </c>
      <c r="G35" s="2">
        <f>Sheet1!G35*1000</f>
        <v>3.64014625580858</v>
      </c>
      <c r="H35" s="2">
        <f>Sheet1!H35*1000</f>
        <v>5.37996474489946</v>
      </c>
      <c r="I35" s="2">
        <f>Sheet1!I35*1000</f>
        <v>20.8751090888771</v>
      </c>
    </row>
    <row r="36" spans="1:9">
      <c r="A36" s="4" t="s">
        <v>42</v>
      </c>
      <c r="B36" s="5">
        <v>3456</v>
      </c>
      <c r="C36" s="2">
        <f>Sheet1!C36*1000</f>
        <v>4.42097133153313</v>
      </c>
      <c r="D36" s="2">
        <f>Sheet1!D36*1000</f>
        <v>1.97446317552917</v>
      </c>
      <c r="E36" s="2">
        <f>Sheet1!E36*1000</f>
        <v>0.711267607073691</v>
      </c>
      <c r="F36" s="2">
        <f>Sheet1!F36*1000</f>
        <v>3.08818541766268</v>
      </c>
      <c r="G36" s="2">
        <f>Sheet1!G36*1000</f>
        <v>4.10912217800822</v>
      </c>
      <c r="H36" s="2">
        <f>Sheet1!H36*1000</f>
        <v>5.30324904942878</v>
      </c>
      <c r="I36" s="2">
        <f>Sheet1!I36*1000</f>
        <v>17.7577666076319</v>
      </c>
    </row>
    <row r="37" spans="1:9">
      <c r="A37" s="4" t="s">
        <v>43</v>
      </c>
      <c r="B37" s="5">
        <v>3456</v>
      </c>
      <c r="C37" s="2">
        <f>Sheet1!C37*1000</f>
        <v>4.52818733630253</v>
      </c>
      <c r="D37" s="2">
        <f>Sheet1!D37*1000</f>
        <v>1.73933304897497</v>
      </c>
      <c r="E37" s="2">
        <f>Sheet1!E37*1000</f>
        <v>1.21655745997448</v>
      </c>
      <c r="F37" s="2">
        <f>Sheet1!F37*1000</f>
        <v>3.38457363528151</v>
      </c>
      <c r="G37" s="2">
        <f>Sheet1!G37*1000</f>
        <v>4.20538088036729</v>
      </c>
      <c r="H37" s="2">
        <f>Sheet1!H37*1000</f>
        <v>5.32345815061694</v>
      </c>
      <c r="I37" s="2">
        <f>Sheet1!I37*1000</f>
        <v>13.7710784370495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Maxwell</cp:lastModifiedBy>
  <dcterms:created xsi:type="dcterms:W3CDTF">2025-11-27T04:52:00Z</dcterms:created>
  <dcterms:modified xsi:type="dcterms:W3CDTF">2025-11-27T07:03:00Z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9688F71F487142B6940C8540CC472B90_12</vt:lpwstr>
  </property>
  <property fmtid="{D5CDD505-2E9C-101B-9397-08002B2CF9AE}" pid="3" name="KSOProductBuildVer">
    <vt:lpwstr>2052-12.1.0.23542</vt:lpwstr>
  </property>
</Properties>
</file>